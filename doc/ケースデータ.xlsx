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mori/Documents/MyProject/mami-kbd/doc/"/>
    </mc:Choice>
  </mc:AlternateContent>
  <xr:revisionPtr revIDLastSave="0" documentId="8_{F5F771A7-85FB-8747-A829-E5D2201EA073}" xr6:coauthVersionLast="47" xr6:coauthVersionMax="47" xr10:uidLastSave="{00000000-0000-0000-0000-000000000000}"/>
  <bookViews>
    <workbookView xWindow="22940" yWindow="1360" windowWidth="28300" windowHeight="17360" activeTab="2" xr2:uid="{E8C2F33B-A92A-7E40-B992-9173835120E7}"/>
  </bookViews>
  <sheets>
    <sheet name="レイヤー" sheetId="1" r:id="rId1"/>
    <sheet name="発注先" sheetId="3" r:id="rId2"/>
    <sheet name="寸法" sheetId="2" r:id="rId3"/>
    <sheet name="フットプリント" sheetId="4" r:id="rId4"/>
  </sheets>
  <calcPr calcId="191029" concurrentManualCount="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4" i="2"/>
  <c r="B5" i="2" s="1"/>
  <c r="B3" i="2" s="1"/>
  <c r="C6" i="2"/>
  <c r="C4" i="2" l="1"/>
  <c r="C2" i="2"/>
  <c r="C5" i="2"/>
  <c r="C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tc={BAC9FFEA-4D8A-9B41-82F1-523319C0D129}</author>
    <author>tc={41E53D9B-8CA7-094E-A354-FCEF3447D78E}</author>
  </authors>
  <commentList>
    <comment ref="D9" authorId="0" shapeId="0" xr:uid="{BAC9FFEA-4D8A-9B41-82F1-523319C0D1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4mm高さ余裕
（バッテリー高さは10mm）</t>
      </text>
    </comment>
    <comment ref="B10" authorId="1" shapeId="0" xr:uid="{41E53D9B-8CA7-094E-A354-FCEF3447D7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滑り止めを合わせるなら、ネジ頭の直径よりも大きくないと意味ない。</t>
      </text>
    </comment>
  </commentList>
</comments>
</file>

<file path=xl/sharedStrings.xml><?xml version="1.0" encoding="utf-8"?>
<sst xmlns="http://schemas.openxmlformats.org/spreadsheetml/2006/main" count="52" uniqueCount="47">
  <si>
    <t>寸法</t>
    <rPh sb="0" eb="2">
      <t xml:space="preserve">スンポウ </t>
    </rPh>
    <phoneticPr fontId="1"/>
  </si>
  <si>
    <t>外側ケース</t>
    <rPh sb="0" eb="2">
      <t xml:space="preserve">ソトガワ </t>
    </rPh>
    <phoneticPr fontId="1"/>
  </si>
  <si>
    <t>電子部品</t>
    <rPh sb="0" eb="4">
      <t xml:space="preserve">デンシブヒン </t>
    </rPh>
    <phoneticPr fontId="1"/>
  </si>
  <si>
    <t>mm</t>
    <phoneticPr fontId="1"/>
  </si>
  <si>
    <t>PCB基盤</t>
    <rPh sb="3" eb="5">
      <t xml:space="preserve">キバン </t>
    </rPh>
    <phoneticPr fontId="1"/>
  </si>
  <si>
    <t>キーレイヤ</t>
    <phoneticPr fontId="1"/>
  </si>
  <si>
    <t>ケース中央レイヤ</t>
    <rPh sb="3" eb="5">
      <t xml:space="preserve">チュウオウ </t>
    </rPh>
    <phoneticPr fontId="1"/>
  </si>
  <si>
    <t>ボトムケース</t>
    <phoneticPr fontId="1"/>
  </si>
  <si>
    <t>トップケース</t>
    <phoneticPr fontId="1"/>
  </si>
  <si>
    <t>スイッチプレート
1.6mm</t>
    <phoneticPr fontId="1"/>
  </si>
  <si>
    <t>PCB基盤
1.6mm</t>
    <rPh sb="3" eb="5">
      <t xml:space="preserve">キバン </t>
    </rPh>
    <phoneticPr fontId="1"/>
  </si>
  <si>
    <t>ケース下部　電子部品（ソケット）
2.0mm</t>
    <rPh sb="0" eb="2">
      <t>ケース</t>
    </rPh>
    <rPh sb="3" eb="5">
      <t>カブ</t>
    </rPh>
    <rPh sb="6" eb="10">
      <t xml:space="preserve">デンシブヒン </t>
    </rPh>
    <phoneticPr fontId="1"/>
  </si>
  <si>
    <t>シリコンガスケット
7.2mm</t>
    <phoneticPr fontId="1"/>
  </si>
  <si>
    <t>スイッチ
6.4mm</t>
    <phoneticPr fontId="1"/>
  </si>
  <si>
    <t>ケースネジレイヤ</t>
    <phoneticPr fontId="1"/>
  </si>
  <si>
    <t>ガスケットレイヤ</t>
    <phoneticPr fontId="1"/>
  </si>
  <si>
    <t>M2ネジ
（4mm）</t>
    <phoneticPr fontId="1"/>
  </si>
  <si>
    <t>バッテリーレイヤ</t>
    <phoneticPr fontId="1"/>
  </si>
  <si>
    <t>ピンヘッダー
3.5mm</t>
    <phoneticPr fontId="1"/>
  </si>
  <si>
    <t>バッテリー
（14mm）</t>
    <phoneticPr fontId="1"/>
  </si>
  <si>
    <t>空白
1.5mm</t>
    <rPh sb="0" eb="2">
      <t xml:space="preserve">クウハク </t>
    </rPh>
    <phoneticPr fontId="1"/>
  </si>
  <si>
    <t>W</t>
    <phoneticPr fontId="1"/>
  </si>
  <si>
    <t>H</t>
    <phoneticPr fontId="1"/>
  </si>
  <si>
    <t>D</t>
    <phoneticPr fontId="1"/>
  </si>
  <si>
    <t>バッテリー</t>
    <phoneticPr fontId="1"/>
  </si>
  <si>
    <t>ProMacro</t>
    <phoneticPr fontId="1"/>
  </si>
  <si>
    <t>PCB</t>
    <phoneticPr fontId="1"/>
  </si>
  <si>
    <t>クリアランス１mm考慮</t>
    <rPh sb="9" eb="11">
      <t xml:space="preserve">コウリョ </t>
    </rPh>
    <phoneticPr fontId="1"/>
  </si>
  <si>
    <t>ボトムケース内枠</t>
    <rPh sb="6" eb="8">
      <t xml:space="preserve">ウチワク </t>
    </rPh>
    <phoneticPr fontId="1"/>
  </si>
  <si>
    <t>ボトムケース外側</t>
    <rPh sb="0" eb="2">
      <t>ボトムケース</t>
    </rPh>
    <rPh sb="6" eb="8">
      <t xml:space="preserve">ソトガワ </t>
    </rPh>
    <phoneticPr fontId="1"/>
  </si>
  <si>
    <t>ベゼル6mm幅</t>
    <rPh sb="6" eb="7">
      <t xml:space="preserve">ハバ </t>
    </rPh>
    <phoneticPr fontId="1"/>
  </si>
  <si>
    <t>トップケース内側</t>
    <rPh sb="6" eb="8">
      <t xml:space="preserve">ウチガワ </t>
    </rPh>
    <phoneticPr fontId="1"/>
  </si>
  <si>
    <t>トップケース外側</t>
    <rPh sb="0" eb="2">
      <t>トップケース</t>
    </rPh>
    <rPh sb="6" eb="8">
      <t xml:space="preserve">ソトガワ </t>
    </rPh>
    <phoneticPr fontId="1"/>
  </si>
  <si>
    <t>ボトムケース+2mm</t>
    <phoneticPr fontId="1"/>
  </si>
  <si>
    <t>USB外枠</t>
    <rPh sb="3" eb="5">
      <t xml:space="preserve">ソトワク </t>
    </rPh>
    <phoneticPr fontId="1"/>
  </si>
  <si>
    <t>USB内枠</t>
    <rPh sb="3" eb="5">
      <t xml:space="preserve">ウチワク </t>
    </rPh>
    <phoneticPr fontId="1"/>
  </si>
  <si>
    <t>ガスケット</t>
    <phoneticPr fontId="1"/>
  </si>
  <si>
    <t>フォーム
3.5mm-</t>
    <phoneticPr fontId="1"/>
  </si>
  <si>
    <t>発注先</t>
    <rPh sb="0" eb="3">
      <t xml:space="preserve">ハッチュウサキ </t>
    </rPh>
    <phoneticPr fontId="1"/>
  </si>
  <si>
    <t>ケース</t>
    <phoneticPr fontId="1"/>
  </si>
  <si>
    <t>フォーム
3.5mm</t>
    <phoneticPr fontId="1"/>
  </si>
  <si>
    <t>ボトムケース
（6mm）</t>
    <phoneticPr fontId="1"/>
  </si>
  <si>
    <t>空白
(16mm)</t>
    <rPh sb="0" eb="2">
      <t xml:space="preserve">クウハク </t>
    </rPh>
    <phoneticPr fontId="1"/>
  </si>
  <si>
    <t xml:space="preserve">トップケース
</t>
    <phoneticPr fontId="1"/>
  </si>
  <si>
    <t>ボトムケース
20mm</t>
    <phoneticPr fontId="1"/>
  </si>
  <si>
    <t>トップケース中央
4..0mm</t>
    <rPh sb="6" eb="8">
      <t xml:space="preserve">チュウオウ </t>
    </rPh>
    <phoneticPr fontId="1"/>
  </si>
  <si>
    <t>空白
2mm程度</t>
    <rPh sb="0" eb="2">
      <t xml:space="preserve">クウハク </t>
    </rPh>
    <rPh sb="6" eb="8">
      <t xml:space="preserve">テイド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</si>
</sst>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4">
    <fill>
      <patternFill patternType="none"/>
    </fill>
    <fill>
      <patternFill patternType="gray125"/>
    </fill>
    <fill>
      <patternFill patternType="solid">
        <fgColor rgb="FFFFFF00"/>
        <bgColor indexed="64"/>
      </patternFill>
    </fill>
    <fill>
      <patternFill patternType="solid">
        <fgColor theme="0" tint="-0.499984740745262"/>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2" borderId="0" xfId="0" applyFill="1" applyAlignment="1">
      <alignment vertical="center" wrapText="1"/>
    </xf>
    <xf numFmtId="0" fontId="0" fillId="0" borderId="0" xfId="0" applyAlignment="1">
      <alignment horizontal="center" vertical="center" wrapText="1"/>
    </xf>
    <xf numFmtId="0" fontId="0" fillId="3" borderId="0" xfId="0" applyFill="1">
      <alignment vertical="center"/>
    </xf>
    <xf numFmtId="0" fontId="0" fillId="3" borderId="0" xfId="0" applyFill="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森拓晃 -Mori Takuaki-" id="{8BDEDB82-DA87-FE4D-AADF-42DEF07E67A6}" userId="S::takuaki.mori@joypotech.com::ad4acaee-ed47-460d-919b-72d09be0eecb"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9" dT="2026-05-11T00:24:06.77" personId="{8BDEDB82-DA87-FE4D-AADF-42DEF07E67A6}" id="{BAC9FFEA-4D8A-9B41-82F1-523319C0D129}">
    <text>4mm高さ余裕
（バッテリー高さは10mm）</text>
  </threadedComment>
  <threadedComment ref="B10" dT="2026-05-11T00:25:20.94" personId="{8BDEDB82-DA87-FE4D-AADF-42DEF07E67A6}" id="{41E53D9B-8CA7-094E-A354-FCEF3447D78E}">
    <text>滑り止めを合わせるなら、ネジ頭の直径よりも大きくないと意味ない。</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94269-21DC-654E-88E2-BBA8D9A3C945}">
  <dimension ref="A1:G10"/>
  <sheetViews>
    <sheetView zoomScale="75" workbookViewId="0">
      <selection activeCell="D3" sqref="D3"/>
    </sheetView>
  </sheetViews>
  <sheetFormatPr baseColWidth="10" defaultRowHeight="20"/>
  <cols>
    <col min="1" max="2" width="30.42578125" customWidth="1"/>
    <col min="3" max="5" width="35.5703125" customWidth="1"/>
    <col min="6" max="6" width="28" customWidth="1"/>
  </cols>
  <sheetData>
    <row r="1" spans="1:7">
      <c r="A1" t="s">
        <v>1</v>
      </c>
      <c r="B1" t="s">
        <v>14</v>
      </c>
      <c r="C1" t="s">
        <v>15</v>
      </c>
      <c r="D1" t="s">
        <v>17</v>
      </c>
      <c r="E1" t="s">
        <v>6</v>
      </c>
      <c r="F1" t="s">
        <v>5</v>
      </c>
      <c r="G1" t="s">
        <v>3</v>
      </c>
    </row>
    <row r="2" spans="1:7" ht="44" customHeight="1">
      <c r="A2" s="8" t="s">
        <v>43</v>
      </c>
      <c r="B2" s="7" t="s">
        <v>8</v>
      </c>
      <c r="E2" s="3" t="s">
        <v>45</v>
      </c>
    </row>
    <row r="3" spans="1:7" ht="42">
      <c r="A3" s="7"/>
      <c r="B3" s="7"/>
      <c r="C3" s="2"/>
      <c r="D3" s="2" t="s">
        <v>13</v>
      </c>
      <c r="E3" s="3" t="s">
        <v>46</v>
      </c>
      <c r="F3" s="2" t="s">
        <v>13</v>
      </c>
    </row>
    <row r="4" spans="1:7" ht="42" customHeight="1">
      <c r="A4" s="7"/>
      <c r="C4" s="8" t="s">
        <v>12</v>
      </c>
      <c r="D4" s="2" t="s">
        <v>9</v>
      </c>
      <c r="E4" s="8" t="s">
        <v>9</v>
      </c>
      <c r="F4" s="8"/>
      <c r="G4" s="1">
        <v>1.6</v>
      </c>
    </row>
    <row r="5" spans="1:7" ht="42" customHeight="1">
      <c r="A5" s="7"/>
      <c r="C5" s="8"/>
      <c r="D5" s="9" t="s">
        <v>40</v>
      </c>
      <c r="E5" s="9"/>
      <c r="F5" s="9"/>
      <c r="G5" s="1">
        <v>3.5</v>
      </c>
    </row>
    <row r="6" spans="1:7" ht="42" customHeight="1">
      <c r="A6" s="7"/>
      <c r="C6" s="8"/>
      <c r="D6" s="8" t="s">
        <v>10</v>
      </c>
      <c r="E6" s="8"/>
      <c r="F6" s="8"/>
      <c r="G6">
        <v>1.6</v>
      </c>
    </row>
    <row r="7" spans="1:7" ht="63" customHeight="1">
      <c r="A7" s="7"/>
      <c r="C7" s="8"/>
      <c r="D7" s="8" t="s">
        <v>18</v>
      </c>
      <c r="E7" s="8" t="s">
        <v>37</v>
      </c>
      <c r="F7" s="2" t="s">
        <v>11</v>
      </c>
      <c r="G7">
        <v>2</v>
      </c>
    </row>
    <row r="8" spans="1:7" ht="42" customHeight="1">
      <c r="A8" s="7"/>
      <c r="C8" s="2"/>
      <c r="D8" s="8"/>
      <c r="E8" s="8"/>
      <c r="F8" s="2" t="s">
        <v>20</v>
      </c>
      <c r="G8">
        <v>1.5</v>
      </c>
    </row>
    <row r="9" spans="1:7" ht="42">
      <c r="A9" s="7"/>
      <c r="B9" s="2" t="s">
        <v>16</v>
      </c>
      <c r="C9" s="7" t="s">
        <v>7</v>
      </c>
      <c r="D9" s="4" t="s">
        <v>19</v>
      </c>
      <c r="E9" s="8" t="s">
        <v>44</v>
      </c>
      <c r="F9" s="7" t="s">
        <v>7</v>
      </c>
      <c r="G9" s="7">
        <v>20</v>
      </c>
    </row>
    <row r="10" spans="1:7" ht="42">
      <c r="A10" s="7"/>
      <c r="B10" s="2" t="s">
        <v>42</v>
      </c>
      <c r="C10" s="7"/>
      <c r="D10" s="4" t="s">
        <v>41</v>
      </c>
      <c r="E10" s="7"/>
      <c r="F10" s="7"/>
      <c r="G10" s="7"/>
    </row>
  </sheetData>
  <mergeCells count="12">
    <mergeCell ref="G9:G10"/>
    <mergeCell ref="A2:A10"/>
    <mergeCell ref="D5:F5"/>
    <mergeCell ref="E4:F4"/>
    <mergeCell ref="B2:B3"/>
    <mergeCell ref="C9:C10"/>
    <mergeCell ref="E9:E10"/>
    <mergeCell ref="F9:F10"/>
    <mergeCell ref="D6:F6"/>
    <mergeCell ref="E7:E8"/>
    <mergeCell ref="D7:D8"/>
    <mergeCell ref="C4:C7"/>
  </mergeCells>
  <phoneticPr fontId="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B498-5EBA-4940-BC4A-CDB8B43D045C}">
  <dimension ref="A1:B2"/>
  <sheetViews>
    <sheetView workbookViewId="0">
      <selection activeCell="A2" sqref="A2"/>
    </sheetView>
  </sheetViews>
  <sheetFormatPr baseColWidth="10" defaultRowHeight="20"/>
  <sheetData>
    <row r="1" spans="1:2">
      <c r="B1" t="s">
        <v>38</v>
      </c>
    </row>
    <row r="2" spans="1:2">
      <c r="A2" t="s">
        <v>39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773E-46A7-884F-897B-125AE54B4812}">
  <dimension ref="A1:H18"/>
  <sheetViews>
    <sheetView tabSelected="1" workbookViewId="0">
      <selection activeCell="F8" sqref="F8"/>
    </sheetView>
  </sheetViews>
  <sheetFormatPr baseColWidth="10" defaultRowHeight="20"/>
  <cols>
    <col min="1" max="1" width="18.5703125" customWidth="1"/>
  </cols>
  <sheetData>
    <row r="1" spans="1:8">
      <c r="A1" t="s">
        <v>0</v>
      </c>
      <c r="B1" t="s">
        <v>21</v>
      </c>
      <c r="C1" t="s">
        <v>22</v>
      </c>
      <c r="D1" t="s">
        <v>23</v>
      </c>
    </row>
    <row r="2" spans="1:8">
      <c r="A2" t="s">
        <v>31</v>
      </c>
      <c r="B2">
        <f>B6+2</f>
        <v>255</v>
      </c>
      <c r="C2">
        <f>C6+4</f>
        <v>91.200999999999993</v>
      </c>
      <c r="E2" t="s">
        <v>27</v>
      </c>
    </row>
    <row r="3" spans="1:8">
      <c r="A3" t="s">
        <v>32</v>
      </c>
      <c r="B3">
        <f>B5+2*2</f>
        <v>271</v>
      </c>
      <c r="C3">
        <f>C5+2*2</f>
        <v>107.20099999999999</v>
      </c>
      <c r="E3" t="s">
        <v>33</v>
      </c>
    </row>
    <row r="4" spans="1:8">
      <c r="A4" t="s">
        <v>28</v>
      </c>
      <c r="B4">
        <f>B6+2</f>
        <v>255</v>
      </c>
      <c r="C4">
        <f>C6+4</f>
        <v>91.200999999999993</v>
      </c>
      <c r="E4" t="s">
        <v>27</v>
      </c>
    </row>
    <row r="5" spans="1:8">
      <c r="A5" t="s">
        <v>29</v>
      </c>
      <c r="B5">
        <f>B4+6*2</f>
        <v>267</v>
      </c>
      <c r="C5">
        <f>C4+6*2</f>
        <v>103.20099999999999</v>
      </c>
      <c r="E5" t="s">
        <v>30</v>
      </c>
    </row>
    <row r="6" spans="1:8">
      <c r="A6" t="s">
        <v>26</v>
      </c>
      <c r="B6">
        <v>253</v>
      </c>
      <c r="C6">
        <f>28.518+58.683</f>
        <v>87.200999999999993</v>
      </c>
      <c r="D6">
        <v>1.51</v>
      </c>
    </row>
    <row r="7" spans="1:8">
      <c r="A7" t="s">
        <v>34</v>
      </c>
      <c r="B7">
        <v>14.5</v>
      </c>
      <c r="C7">
        <v>9.9</v>
      </c>
    </row>
    <row r="8" spans="1:8">
      <c r="A8" t="s">
        <v>35</v>
      </c>
      <c r="B8">
        <v>9.5</v>
      </c>
      <c r="C8">
        <v>3.8</v>
      </c>
    </row>
    <row r="10" spans="1:8">
      <c r="A10" t="s">
        <v>2</v>
      </c>
    </row>
    <row r="11" spans="1:8">
      <c r="A11" t="s">
        <v>4</v>
      </c>
    </row>
    <row r="12" spans="1:8" s="5" customFormat="1">
      <c r="A12" s="5" t="s">
        <v>24</v>
      </c>
      <c r="B12" s="5">
        <v>34</v>
      </c>
      <c r="C12" s="5">
        <v>50</v>
      </c>
      <c r="D12" s="5">
        <v>10</v>
      </c>
      <c r="F12" s="6"/>
      <c r="G12" s="6"/>
      <c r="H12" s="6"/>
    </row>
    <row r="13" spans="1:8">
      <c r="A13" t="s">
        <v>24</v>
      </c>
      <c r="B13">
        <v>40</v>
      </c>
      <c r="C13">
        <v>80</v>
      </c>
      <c r="D13">
        <v>5</v>
      </c>
      <c r="F13" s="2"/>
      <c r="G13" s="2"/>
      <c r="H13" s="2"/>
    </row>
    <row r="14" spans="1:8">
      <c r="A14" t="s">
        <v>25</v>
      </c>
      <c r="B14">
        <v>18</v>
      </c>
      <c r="C14">
        <v>33</v>
      </c>
      <c r="D14">
        <v>4.0999999999999996</v>
      </c>
      <c r="F14" s="2"/>
      <c r="G14" s="2"/>
      <c r="H14" s="2"/>
    </row>
    <row r="15" spans="1:8">
      <c r="A15" t="s">
        <v>36</v>
      </c>
      <c r="F15" s="3"/>
      <c r="G15" s="2"/>
      <c r="H15" s="3"/>
    </row>
    <row r="16" spans="1:8">
      <c r="F16" s="2"/>
      <c r="G16" s="2"/>
      <c r="H16" s="2"/>
    </row>
    <row r="17" spans="7:8">
      <c r="G17" s="2"/>
      <c r="H17" s="2"/>
    </row>
    <row r="18" spans="7:8">
      <c r="G18" s="2"/>
      <c r="H18" s="2"/>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F801A-84E7-074B-9C30-174290538D9F}">
  <dimension ref="A1"/>
  <sheetViews>
    <sheetView workbookViewId="0">
      <selection activeCell="D8" sqref="D8"/>
    </sheetView>
  </sheetViews>
  <sheetFormatPr baseColWidth="10" defaultRowHeight="20"/>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レイヤー</vt:lpstr>
      <vt:lpstr>発注先</vt:lpstr>
      <vt:lpstr>寸法</vt:lpstr>
      <vt:lpstr>フットプリント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森拓晃 -Mori Takuaki-</dc:creator>
  <cp:lastModifiedBy>森拓晃 -Mori Takuaki-</cp:lastModifiedBy>
  <dcterms:created xsi:type="dcterms:W3CDTF">2026-05-05T20:14:38Z</dcterms:created>
  <dcterms:modified xsi:type="dcterms:W3CDTF">2026-06-06T10:52:11Z</dcterms:modified>
</cp:coreProperties>
</file>